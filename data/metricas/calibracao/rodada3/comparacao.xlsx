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  <sheet name="pareadas" sheetId="2" state="visible" r:id="rId2"/>
    <sheet name="concordancia" sheetId="3" state="visible" r:id="rId3"/>
    <sheet name="concordancia_por_dissertacao" sheetId="4" state="visible" r:id="rId4"/>
    <sheet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F1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'execucoes'!N1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'execucoes'!$N$2:$N$7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precisão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'execucoes'!L1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'execucoes'!$L$2:$L$7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revocação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'execucoes'!M1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acerto@1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'execucoes'!S1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'execucoes'!$S$2:$S$7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margem sobre a linha de base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'execucoes'!R1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'execucoes'!$R$2:$R$7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Formato: itens com nome limpo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'execucoes'!J1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'execucoes'!$J$2:$J$7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Eixos de metodologia cobertos (de 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'execucoes'!I1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Campos com status ok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'execucoes'!F1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por dissertação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'execucoes'!H1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Palavras por temática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'execucoes'!K1</f>
            </strRef>
          </tx>
          <spPr>
            <a:ln>
              <a:prstDash val="solid"/>
            </a:ln>
          </spPr>
          <cat>
            <numRef>
              <f>'execucoes'!$A$2:$A$7</f>
            </numRef>
          </cat>
          <val>
            <numRef>
              <f>'execucoes'!$K$2:$K$7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32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760000" cy="327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5760000" cy="327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20</row>
      <rowOff>0</rowOff>
    </from>
    <ext cx="5760000" cy="327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5760000" cy="327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40</row>
      <rowOff>0</rowOff>
    </from>
    <ext cx="5760000" cy="327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60</row>
      <rowOff>0</rowOff>
    </from>
    <ext cx="5760000" cy="327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60</row>
      <rowOff>0</rowOff>
    </from>
    <ext cx="5760000" cy="327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80</row>
      <rowOff>0</rowOff>
    </from>
    <ext cx="5760000" cy="3276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80</row>
      <rowOff>0</rowOff>
    </from>
    <ext cx="5760000" cy="3276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19" customWidth="1" min="2" max="2"/>
    <col width="9" customWidth="1" min="3" max="3"/>
    <col width="15" customWidth="1" min="4" max="4"/>
    <col width="8" customWidth="1" min="5" max="5"/>
    <col width="20" customWidth="1" min="6" max="6"/>
    <col width="23" customWidth="1" min="7" max="7"/>
    <col width="15" customWidth="1" min="8" max="8"/>
    <col width="16" customWidth="1" min="9" max="9"/>
    <col width="20" customWidth="1" min="10" max="10"/>
    <col width="23" customWidth="1" min="11" max="11"/>
    <col width="20" customWidth="1" min="12" max="12"/>
    <col width="20" customWidth="1" min="13" max="13"/>
    <col width="20" customWidth="1" min="14" max="14"/>
    <col width="22" customWidth="1" min="15" max="15"/>
    <col width="18" customWidth="1" min="16" max="16"/>
    <col width="20" customWidth="1" min="17" max="17"/>
    <col width="22" customWidth="1" min="18" max="18"/>
    <col width="14" customWidth="1" min="19" max="19"/>
  </cols>
  <sheetData>
    <row r="1">
      <c r="A1" s="1" t="inlineStr">
        <is>
          <t>execucao</t>
        </is>
      </c>
      <c r="B1" s="1" t="inlineStr">
        <is>
          <t>modelo</t>
        </is>
      </c>
      <c r="C1" s="1" t="inlineStr">
        <is>
          <t>tecnica</t>
        </is>
      </c>
      <c r="D1" s="1" t="inlineStr">
        <is>
          <t>versao_prompt</t>
        </is>
      </c>
      <c r="E1" s="1" t="inlineStr">
        <is>
          <t>n</t>
        </is>
      </c>
      <c r="F1" s="1" t="inlineStr">
        <is>
          <t>campos_ok</t>
        </is>
      </c>
      <c r="G1" s="1" t="inlineStr">
        <is>
          <t>dissertacoes_com_erro</t>
        </is>
      </c>
      <c r="H1" s="1" t="inlineStr">
        <is>
          <t>tempo_medio_s</t>
        </is>
      </c>
      <c r="I1" s="1" t="inlineStr">
        <is>
          <t>eixos_cobertos</t>
        </is>
      </c>
      <c r="J1" s="1" t="inlineStr">
        <is>
          <t>itens_exatos</t>
        </is>
      </c>
      <c r="K1" s="1" t="inlineStr">
        <is>
          <t>palavras_por_tematica</t>
        </is>
      </c>
      <c r="L1" s="1" t="inlineStr">
        <is>
          <t>met_precisao</t>
        </is>
      </c>
      <c r="M1" s="1" t="inlineStr">
        <is>
          <t>met_revocacao</t>
        </is>
      </c>
      <c r="N1" s="1" t="inlineStr">
        <is>
          <t>met_f1</t>
        </is>
      </c>
      <c r="O1" s="1" t="inlineStr">
        <is>
          <t>met_precisao_estrita</t>
        </is>
      </c>
      <c r="P1" s="1" t="inlineStr">
        <is>
          <t>tem_similaridade</t>
        </is>
      </c>
      <c r="Q1" s="1" t="inlineStr">
        <is>
          <t>tem_linha_de_base</t>
        </is>
      </c>
      <c r="R1" s="1" t="inlineStr">
        <is>
          <t>tem_margem</t>
        </is>
      </c>
      <c r="S1" s="1" t="inlineStr">
        <is>
          <t>tem_acerto_1</t>
        </is>
      </c>
    </row>
    <row r="2">
      <c r="A2" t="inlineStr">
        <is>
          <t>qwen3.5-2b-q4_K_M__hibrido__v2</t>
        </is>
      </c>
      <c r="B2" t="inlineStr">
        <is>
          <t>qwen3.5:2b-q4_K_M</t>
        </is>
      </c>
      <c r="C2" t="inlineStr">
        <is>
          <t>hibrido</t>
        </is>
      </c>
      <c r="D2" t="inlineStr">
        <is>
          <t>v2</t>
        </is>
      </c>
      <c r="E2" t="n">
        <v>20</v>
      </c>
      <c r="F2" s="2" t="n">
        <v>1</v>
      </c>
      <c r="G2" t="n">
        <v>0</v>
      </c>
      <c r="H2" s="2" t="n">
        <v>1.6325</v>
      </c>
      <c r="I2" s="2" t="n">
        <v>2.05</v>
      </c>
      <c r="J2" s="2" t="n">
        <v>0.6410256410256411</v>
      </c>
      <c r="K2" s="2" t="n">
        <v>20.775</v>
      </c>
      <c r="L2" s="2" t="n">
        <v>0.7858333333333333</v>
      </c>
      <c r="M2" s="2" t="n">
        <v>0.6480357142857143</v>
      </c>
      <c r="N2" s="2" t="n">
        <v>0.6727808302808302</v>
      </c>
      <c r="O2" s="2" t="n">
        <v>0.773335</v>
      </c>
      <c r="P2" s="2" t="n">
        <v>0.91177</v>
      </c>
      <c r="Q2" s="2" t="n">
        <v>0.8816360961449774</v>
      </c>
      <c r="R2" s="2" t="n">
        <v>0.03013260403746054</v>
      </c>
      <c r="S2" s="2" t="n">
        <v>0.6</v>
      </c>
    </row>
    <row r="3">
      <c r="A3" t="inlineStr">
        <is>
          <t>qwen3.5-2b-q4_K_M__hibrido__v2__busca-corrigida</t>
        </is>
      </c>
      <c r="B3" t="inlineStr">
        <is>
          <t>qwen3.5:2b-q4_K_M</t>
        </is>
      </c>
      <c r="C3" t="inlineStr">
        <is>
          <t>hibrido</t>
        </is>
      </c>
      <c r="D3" t="inlineStr">
        <is>
          <t>v2</t>
        </is>
      </c>
      <c r="E3" t="n">
        <v>20</v>
      </c>
      <c r="F3" s="2" t="n">
        <v>1</v>
      </c>
      <c r="G3" t="n">
        <v>0</v>
      </c>
      <c r="H3" s="2" t="n">
        <v>1.566</v>
      </c>
      <c r="I3" t="n">
        <v>2</v>
      </c>
      <c r="J3" s="2" t="n">
        <v>0.7692307692307693</v>
      </c>
      <c r="K3" s="2" t="n">
        <v>21.2</v>
      </c>
      <c r="L3" s="2" t="n">
        <v>0.7308333333333333</v>
      </c>
      <c r="M3" s="2" t="n">
        <v>0.5718452380952381</v>
      </c>
      <c r="N3" s="2" t="n">
        <v>0.6217460317460317</v>
      </c>
      <c r="O3" s="2" t="n">
        <v>0.7183349999999999</v>
      </c>
      <c r="P3" s="2" t="n">
        <v>0.9110549999999999</v>
      </c>
      <c r="Q3" s="2" t="n">
        <v>0.8814172914153651</v>
      </c>
      <c r="R3" s="2" t="n">
        <v>0.02964020018514835</v>
      </c>
      <c r="S3" s="2" t="n">
        <v>0.45</v>
      </c>
    </row>
    <row r="4">
      <c r="A4" t="inlineStr">
        <is>
          <t>qwen3.5-4b-q4_K_M__hibrido__v2</t>
        </is>
      </c>
      <c r="B4" t="inlineStr">
        <is>
          <t>qwen3.5:4b-q4_K_M</t>
        </is>
      </c>
      <c r="C4" t="inlineStr">
        <is>
          <t>hibrido</t>
        </is>
      </c>
      <c r="D4" t="inlineStr">
        <is>
          <t>v2</t>
        </is>
      </c>
      <c r="E4" t="n">
        <v>20</v>
      </c>
      <c r="F4" s="2" t="n">
        <v>0.9907407407407407</v>
      </c>
      <c r="G4" t="n">
        <v>0</v>
      </c>
      <c r="H4" s="2" t="n">
        <v>3.1845</v>
      </c>
      <c r="I4" s="2" t="n">
        <v>2.35</v>
      </c>
      <c r="J4" s="2" t="n">
        <v>0.8823529411764706</v>
      </c>
      <c r="K4" s="2" t="n">
        <v>6.3</v>
      </c>
      <c r="L4" s="2" t="n">
        <v>0.8428571428571429</v>
      </c>
      <c r="M4" s="2" t="n">
        <v>0.8523214285714286</v>
      </c>
      <c r="N4" s="2" t="n">
        <v>0.8387409812409813</v>
      </c>
      <c r="O4" s="2" t="n">
        <v>0.83452</v>
      </c>
      <c r="P4" s="2" t="n">
        <v>0.943455</v>
      </c>
      <c r="Q4" s="2" t="n">
        <v>0.871256468405849</v>
      </c>
      <c r="R4" s="2" t="n">
        <v>0.07219965089308589</v>
      </c>
      <c r="S4" s="2" t="n">
        <v>0.95</v>
      </c>
    </row>
    <row r="5">
      <c r="A5" t="inlineStr">
        <is>
          <t>qwen3.5-4b-q4_K_M__hibrido__v2__busca-corrigida</t>
        </is>
      </c>
      <c r="B5" t="inlineStr">
        <is>
          <t>qwen3.5:4b-q4_K_M</t>
        </is>
      </c>
      <c r="C5" t="inlineStr">
        <is>
          <t>hibrido</t>
        </is>
      </c>
      <c r="D5" t="inlineStr">
        <is>
          <t>v2</t>
        </is>
      </c>
      <c r="E5" t="n">
        <v>20</v>
      </c>
      <c r="F5" s="2" t="n">
        <v>1</v>
      </c>
      <c r="G5" t="n">
        <v>0</v>
      </c>
      <c r="H5" s="2" t="n">
        <v>3.1255</v>
      </c>
      <c r="I5" s="2" t="n">
        <v>2.35</v>
      </c>
      <c r="J5" s="2" t="n">
        <v>0.9104477611940298</v>
      </c>
      <c r="K5" s="2" t="n">
        <v>6.075</v>
      </c>
      <c r="L5" s="2" t="n">
        <v>0.8458333333333333</v>
      </c>
      <c r="M5" s="2" t="n">
        <v>0.8069642857142857</v>
      </c>
      <c r="N5" s="2" t="n">
        <v>0.8071017871017871</v>
      </c>
      <c r="O5" s="2" t="n">
        <v>0.804165</v>
      </c>
      <c r="P5" s="2" t="n">
        <v>0.94245</v>
      </c>
      <c r="Q5" s="2" t="n">
        <v>0.8696606339592683</v>
      </c>
      <c r="R5" s="2" t="n">
        <v>0.0727890132289184</v>
      </c>
      <c r="S5" s="2" t="n">
        <v>0.95</v>
      </c>
    </row>
    <row r="6">
      <c r="A6" t="inlineStr">
        <is>
          <t>qwen3.5-9b-q4_K_M__hibrido__v2</t>
        </is>
      </c>
      <c r="B6" t="inlineStr">
        <is>
          <t>qwen3.5:9b-q4_K_M</t>
        </is>
      </c>
      <c r="C6" t="inlineStr">
        <is>
          <t>hibrido</t>
        </is>
      </c>
      <c r="D6" t="inlineStr">
        <is>
          <t>v2</t>
        </is>
      </c>
      <c r="E6" t="n">
        <v>20</v>
      </c>
      <c r="F6" s="2" t="n">
        <v>1</v>
      </c>
      <c r="G6" t="n">
        <v>0</v>
      </c>
      <c r="H6" s="2" t="n">
        <v>5.173</v>
      </c>
      <c r="I6" s="2" t="n">
        <v>2.6</v>
      </c>
      <c r="J6" s="2" t="n">
        <v>0.9041095890410958</v>
      </c>
      <c r="K6" s="2" t="n">
        <v>4.775</v>
      </c>
      <c r="L6" s="2" t="n">
        <v>0.8083333333333333</v>
      </c>
      <c r="M6" s="2" t="n">
        <v>0.6593452380952382</v>
      </c>
      <c r="N6" s="2" t="n">
        <v>0.6951359751359751</v>
      </c>
      <c r="O6" s="2" t="n">
        <v>0.629995</v>
      </c>
      <c r="P6" s="2" t="n">
        <v>0.941465</v>
      </c>
      <c r="Q6" s="2" t="n">
        <v>0.8667942974912493</v>
      </c>
      <c r="R6" s="2" t="n">
        <v>0.07467446437007508</v>
      </c>
      <c r="S6" s="2" t="n">
        <v>0.95</v>
      </c>
    </row>
    <row r="7">
      <c r="A7" t="inlineStr">
        <is>
          <t>qwen3.5-9b-q4_K_M__hibrido__v2__busca-corrigida</t>
        </is>
      </c>
      <c r="B7" t="inlineStr">
        <is>
          <t>qwen3.5:9b-q4_K_M</t>
        </is>
      </c>
      <c r="C7" t="inlineStr">
        <is>
          <t>hibrido</t>
        </is>
      </c>
      <c r="D7" t="inlineStr">
        <is>
          <t>v2</t>
        </is>
      </c>
      <c r="E7" t="n">
        <v>20</v>
      </c>
      <c r="F7" s="2" t="n">
        <v>1</v>
      </c>
      <c r="G7" t="n">
        <v>0</v>
      </c>
      <c r="H7" s="2" t="n">
        <v>5.996</v>
      </c>
      <c r="I7" s="2" t="n">
        <v>2.7</v>
      </c>
      <c r="J7" s="2" t="n">
        <v>0.9473684210526315</v>
      </c>
      <c r="K7" s="2" t="n">
        <v>4.775</v>
      </c>
      <c r="L7" s="2" t="n">
        <v>0.8461904761904762</v>
      </c>
      <c r="M7" s="2" t="n">
        <v>0.7189880952380953</v>
      </c>
      <c r="N7" s="2" t="n">
        <v>0.7499632906775764</v>
      </c>
      <c r="O7" s="2" t="n">
        <v>0.671185</v>
      </c>
      <c r="P7" s="2" t="n">
        <v>0.939645</v>
      </c>
      <c r="Q7" s="2" t="n">
        <v>0.8676391507449903</v>
      </c>
      <c r="R7" s="2" t="n">
        <v>0.07201272296278094</v>
      </c>
      <c r="S7" s="2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9" customWidth="1" min="2" max="2"/>
    <col width="49" customWidth="1" min="3" max="3"/>
    <col width="22" customWidth="1" min="4" max="4"/>
    <col width="23" customWidth="1" min="5" max="5"/>
    <col width="25" customWidth="1" min="6" max="6"/>
    <col width="8" customWidth="1" min="7" max="7"/>
    <col width="8" customWidth="1" min="8" max="8"/>
    <col width="9" customWidth="1" min="9" max="9"/>
    <col width="24" customWidth="1" min="10" max="10"/>
  </cols>
  <sheetData>
    <row r="1">
      <c r="A1" s="1" t="inlineStr">
        <is>
          <t>muda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f1_media</t>
        </is>
      </c>
      <c r="E1" s="1" t="inlineStr">
        <is>
          <t>f1_ic95_baixo</t>
        </is>
      </c>
      <c r="F1" s="1" t="inlineStr">
        <is>
          <t>f1_ic95_alto</t>
        </is>
      </c>
      <c r="G1" s="1" t="inlineStr">
        <is>
          <t>ganhou</t>
        </is>
      </c>
      <c r="H1" s="1" t="inlineStr">
        <is>
          <t>perdeu</t>
        </is>
      </c>
      <c r="I1" s="1" t="inlineStr">
        <is>
          <t>empatou</t>
        </is>
      </c>
      <c r="J1" s="1" t="inlineStr">
        <is>
          <t>tematicas_media</t>
        </is>
      </c>
    </row>
    <row r="2">
      <c r="A2" t="inlineStr">
        <is>
          <t>modelo</t>
        </is>
      </c>
      <c r="B2" t="inlineStr">
        <is>
          <t>qwen3.5-4b-q4_K_M__hibrido__v2</t>
        </is>
      </c>
      <c r="C2" t="inlineStr">
        <is>
          <t>qwen3.5-2b-q4_K_M__hibrido__v2</t>
        </is>
      </c>
      <c r="D2" s="2" t="n">
        <v>0.165955</v>
      </c>
      <c r="E2" s="2" t="n">
        <v>0.059535</v>
      </c>
      <c r="F2" s="2" t="n">
        <v>0.27864</v>
      </c>
      <c r="G2" t="n">
        <v>11</v>
      </c>
      <c r="H2" t="n">
        <v>4</v>
      </c>
      <c r="I2" t="n">
        <v>5</v>
      </c>
      <c r="J2" s="2" t="n">
        <v>0.03168499999999998</v>
      </c>
    </row>
    <row r="3">
      <c r="A3" t="inlineStr">
        <is>
          <t>modelo</t>
        </is>
      </c>
      <c r="B3" t="inlineStr">
        <is>
          <t>qwen3.5-4b-q4_K_M__hibrido__v2__busca-corrigida</t>
        </is>
      </c>
      <c r="C3" t="inlineStr">
        <is>
          <t>qwen3.5-2b-q4_K_M__hibrido__v2</t>
        </is>
      </c>
      <c r="D3" s="2" t="n">
        <v>0.13432</v>
      </c>
      <c r="E3" s="2" t="n">
        <v>0.044245</v>
      </c>
      <c r="F3" s="2" t="n">
        <v>0.227395</v>
      </c>
      <c r="G3" t="n">
        <v>12</v>
      </c>
      <c r="H3" t="n">
        <v>4</v>
      </c>
      <c r="I3" t="n">
        <v>4</v>
      </c>
      <c r="J3" s="2" t="n">
        <v>0.03067999999999999</v>
      </c>
    </row>
    <row r="4">
      <c r="A4" t="inlineStr">
        <is>
          <t>modelo</t>
        </is>
      </c>
      <c r="B4" t="inlineStr">
        <is>
          <t>qwen3.5-9b-q4_K_M__hibrido__v2</t>
        </is>
      </c>
      <c r="C4" t="inlineStr">
        <is>
          <t>qwen3.5-2b-q4_K_M__hibrido__v2</t>
        </is>
      </c>
      <c r="D4" s="2" t="n">
        <v>0.02234999999999999</v>
      </c>
      <c r="E4" s="2" t="n">
        <v>-0.135835</v>
      </c>
      <c r="F4" s="2" t="n">
        <v>0.18396</v>
      </c>
      <c r="G4" t="n">
        <v>9</v>
      </c>
      <c r="H4" t="n">
        <v>8</v>
      </c>
      <c r="I4" t="n">
        <v>3</v>
      </c>
      <c r="J4" s="2" t="n">
        <v>0.02969499999999999</v>
      </c>
    </row>
    <row r="5">
      <c r="A5" t="inlineStr">
        <is>
          <t>modelo</t>
        </is>
      </c>
      <c r="B5" t="inlineStr">
        <is>
          <t>qwen3.5-9b-q4_K_M__hibrido__v2__busca-corrigida</t>
        </is>
      </c>
      <c r="C5" t="inlineStr">
        <is>
          <t>qwen3.5-2b-q4_K_M__hibrido__v2</t>
        </is>
      </c>
      <c r="D5" s="2" t="n">
        <v>0.07717499999999999</v>
      </c>
      <c r="E5" s="2" t="n">
        <v>-0.08225499999999999</v>
      </c>
      <c r="F5" s="2" t="n">
        <v>0.23395</v>
      </c>
      <c r="G5" t="n">
        <v>10</v>
      </c>
      <c r="H5" t="n">
        <v>6</v>
      </c>
      <c r="I5" t="n">
        <v>4</v>
      </c>
      <c r="J5" s="2" t="n">
        <v>0.02787499999999999</v>
      </c>
    </row>
    <row r="6">
      <c r="A6" t="inlineStr">
        <is>
          <t>modelo</t>
        </is>
      </c>
      <c r="B6" t="inlineStr">
        <is>
          <t>qwen3.5-4b-q4_K_M__hibrido__v2</t>
        </is>
      </c>
      <c r="C6" t="inlineStr">
        <is>
          <t>qwen3.5-2b-q4_K_M__hibrido__v2__busca-corrigida</t>
        </is>
      </c>
      <c r="D6" s="2" t="n">
        <v>0.21699</v>
      </c>
      <c r="E6" s="2" t="n">
        <v>0.07556500000000002</v>
      </c>
      <c r="F6" s="2" t="n">
        <v>0.368</v>
      </c>
      <c r="G6" t="n">
        <v>11</v>
      </c>
      <c r="H6" t="n">
        <v>4</v>
      </c>
      <c r="I6" t="n">
        <v>5</v>
      </c>
      <c r="J6" s="2" t="n">
        <v>0.0324</v>
      </c>
    </row>
    <row r="7">
      <c r="A7" t="inlineStr">
        <is>
          <t>modelo</t>
        </is>
      </c>
      <c r="B7" t="inlineStr">
        <is>
          <t>qwen3.5-4b-q4_K_M__hibrido__v2__busca-corrigida</t>
        </is>
      </c>
      <c r="C7" t="inlineStr">
        <is>
          <t>qwen3.5-2b-q4_K_M__hibrido__v2__busca-corrigida</t>
        </is>
      </c>
      <c r="D7" s="2" t="n">
        <v>0.185355</v>
      </c>
      <c r="E7" s="2" t="n">
        <v>0.07110500000000002</v>
      </c>
      <c r="F7" s="2" t="n">
        <v>0.30175</v>
      </c>
      <c r="G7" t="n">
        <v>12</v>
      </c>
      <c r="H7" t="n">
        <v>3</v>
      </c>
      <c r="I7" t="n">
        <v>5</v>
      </c>
      <c r="J7" s="2" t="n">
        <v>0.03139499999999999</v>
      </c>
    </row>
    <row r="8">
      <c r="A8" t="inlineStr">
        <is>
          <t>modelo</t>
        </is>
      </c>
      <c r="B8" t="inlineStr">
        <is>
          <t>qwen3.5-9b-q4_K_M__hibrido__v2</t>
        </is>
      </c>
      <c r="C8" t="inlineStr">
        <is>
          <t>qwen3.5-2b-q4_K_M__hibrido__v2__busca-corrigida</t>
        </is>
      </c>
      <c r="D8" s="2" t="n">
        <v>0.07338499999999999</v>
      </c>
      <c r="E8" s="2" t="n">
        <v>-0.07443500000000002</v>
      </c>
      <c r="F8" s="2" t="n">
        <v>0.223</v>
      </c>
      <c r="G8" t="n">
        <v>10</v>
      </c>
      <c r="H8" t="n">
        <v>5</v>
      </c>
      <c r="I8" t="n">
        <v>5</v>
      </c>
      <c r="J8" s="2" t="n">
        <v>0.03041</v>
      </c>
    </row>
    <row r="9">
      <c r="A9" t="inlineStr">
        <is>
          <t>modelo</t>
        </is>
      </c>
      <c r="B9" t="inlineStr">
        <is>
          <t>qwen3.5-9b-q4_K_M__hibrido__v2__busca-corrigida</t>
        </is>
      </c>
      <c r="C9" t="inlineStr">
        <is>
          <t>qwen3.5-2b-q4_K_M__hibrido__v2__busca-corrigida</t>
        </is>
      </c>
      <c r="D9" s="2" t="n">
        <v>0.12821</v>
      </c>
      <c r="E9" s="2" t="n">
        <v>-0.02798499999999999</v>
      </c>
      <c r="F9" s="2" t="n">
        <v>0.275445</v>
      </c>
      <c r="G9" t="n">
        <v>11</v>
      </c>
      <c r="H9" t="n">
        <v>4</v>
      </c>
      <c r="I9" t="n">
        <v>5</v>
      </c>
      <c r="J9" s="2" t="n">
        <v>0.02859</v>
      </c>
    </row>
    <row r="10">
      <c r="A10" t="inlineStr">
        <is>
          <t>modelo</t>
        </is>
      </c>
      <c r="B10" t="inlineStr">
        <is>
          <t>qwen3.5-9b-q4_K_M__hibrido__v2</t>
        </is>
      </c>
      <c r="C10" t="inlineStr">
        <is>
          <t>qwen3.5-4b-q4_K_M__hibrido__v2</t>
        </is>
      </c>
      <c r="D10" s="2" t="n">
        <v>-0.143605</v>
      </c>
      <c r="E10" s="2" t="n">
        <v>-0.30632</v>
      </c>
      <c r="F10" s="2" t="n">
        <v>-0.0001200000000000034</v>
      </c>
      <c r="G10" t="n">
        <v>4</v>
      </c>
      <c r="H10" t="n">
        <v>8</v>
      </c>
      <c r="I10" t="n">
        <v>8</v>
      </c>
      <c r="J10" s="2" t="n">
        <v>-0.001989999999999992</v>
      </c>
    </row>
    <row r="11">
      <c r="A11" t="inlineStr">
        <is>
          <t>modelo</t>
        </is>
      </c>
      <c r="B11" t="inlineStr">
        <is>
          <t>qwen3.5-9b-q4_K_M__hibrido__v2__busca-corrigida</t>
        </is>
      </c>
      <c r="C11" t="inlineStr">
        <is>
          <t>qwen3.5-4b-q4_K_M__hibrido__v2</t>
        </is>
      </c>
      <c r="D11" s="2" t="n">
        <v>-0.08878</v>
      </c>
      <c r="E11" s="2" t="n">
        <v>-0.22585</v>
      </c>
      <c r="F11" s="2" t="n">
        <v>0.025535</v>
      </c>
      <c r="G11" t="n">
        <v>4</v>
      </c>
      <c r="H11" t="n">
        <v>7</v>
      </c>
      <c r="I11" t="n">
        <v>9</v>
      </c>
      <c r="J11" s="2" t="n">
        <v>-0.003809999999999997</v>
      </c>
    </row>
    <row r="12">
      <c r="A12" t="inlineStr">
        <is>
          <t>modelo</t>
        </is>
      </c>
      <c r="B12" t="inlineStr">
        <is>
          <t>qwen3.5-9b-q4_K_M__hibrido__v2</t>
        </is>
      </c>
      <c r="C12" t="inlineStr">
        <is>
          <t>qwen3.5-4b-q4_K_M__hibrido__v2__busca-corrigida</t>
        </is>
      </c>
      <c r="D12" s="2" t="n">
        <v>-0.11197</v>
      </c>
      <c r="E12" s="2" t="n">
        <v>-0.211435</v>
      </c>
      <c r="F12" s="2" t="n">
        <v>-0.020305</v>
      </c>
      <c r="G12" t="n">
        <v>2</v>
      </c>
      <c r="H12" t="n">
        <v>8</v>
      </c>
      <c r="I12" t="n">
        <v>10</v>
      </c>
      <c r="J12" s="2" t="n">
        <v>-0.0009849999999999915</v>
      </c>
    </row>
    <row r="13">
      <c r="A13" t="inlineStr">
        <is>
          <t>modelo</t>
        </is>
      </c>
      <c r="B13" t="inlineStr">
        <is>
          <t>qwen3.5-9b-q4_K_M__hibrido__v2__busca-corrigida</t>
        </is>
      </c>
      <c r="C13" t="inlineStr">
        <is>
          <t>qwen3.5-4b-q4_K_M__hibrido__v2__busca-corrigida</t>
        </is>
      </c>
      <c r="D13" s="2" t="n">
        <v>-0.057145</v>
      </c>
      <c r="E13" s="2" t="n">
        <v>-0.162475</v>
      </c>
      <c r="F13" s="2" t="n">
        <v>0.04669000000000001</v>
      </c>
      <c r="G13" t="n">
        <v>3</v>
      </c>
      <c r="H13" t="n">
        <v>7</v>
      </c>
      <c r="I13" t="n">
        <v>10</v>
      </c>
      <c r="J13" s="2" t="n">
        <v>-0.002804999999999996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9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dissertacoes</t>
        </is>
      </c>
      <c r="D1" s="1" t="inlineStr">
        <is>
          <t>jaccard_metodologias</t>
        </is>
      </c>
      <c r="E1" s="1" t="inlineStr">
        <is>
          <t>similaridade_tematicas</t>
        </is>
      </c>
    </row>
    <row r="2">
      <c r="A2" t="inlineStr">
        <is>
          <t>qwen3.5-2b-q4_K_M__hibrido__v2</t>
        </is>
      </c>
      <c r="B2" t="inlineStr">
        <is>
          <t>qwen3.5-2b-q4_K_M__hibrido__v2__busca-corrigida</t>
        </is>
      </c>
      <c r="C2" t="n">
        <v>20</v>
      </c>
      <c r="D2" s="2" t="n">
        <v>0.8095238095238095</v>
      </c>
      <c r="E2" s="2" t="n">
        <v>0.9926361918449402</v>
      </c>
    </row>
    <row r="3">
      <c r="A3" t="inlineStr">
        <is>
          <t>qwen3.5-2b-q4_K_M__hibrido__v2</t>
        </is>
      </c>
      <c r="B3" t="inlineStr">
        <is>
          <t>qwen3.5-4b-q4_K_M__hibrido__v2</t>
        </is>
      </c>
      <c r="C3" t="n">
        <v>20</v>
      </c>
      <c r="D3" s="2" t="n">
        <v>0.6342857142857142</v>
      </c>
      <c r="E3" s="2" t="n">
        <v>0.9079444706439972</v>
      </c>
    </row>
    <row r="4">
      <c r="A4" t="inlineStr">
        <is>
          <t>qwen3.5-2b-q4_K_M__hibrido__v2</t>
        </is>
      </c>
      <c r="B4" t="inlineStr">
        <is>
          <t>qwen3.5-4b-q4_K_M__hibrido__v2__busca-corrigida</t>
        </is>
      </c>
      <c r="C4" t="n">
        <v>20</v>
      </c>
      <c r="D4" s="2" t="n">
        <v>0.5917857142857142</v>
      </c>
      <c r="E4" s="2" t="n">
        <v>0.9052386954426765</v>
      </c>
    </row>
    <row r="5">
      <c r="A5" t="inlineStr">
        <is>
          <t>qwen3.5-2b-q4_K_M__hibrido__v2</t>
        </is>
      </c>
      <c r="B5" t="inlineStr">
        <is>
          <t>qwen3.5-9b-q4_K_M__hibrido__v2</t>
        </is>
      </c>
      <c r="C5" t="n">
        <v>20</v>
      </c>
      <c r="D5" s="2" t="n">
        <v>0.4363095238095238</v>
      </c>
      <c r="E5" s="2" t="n">
        <v>0.8934526517987251</v>
      </c>
    </row>
    <row r="6">
      <c r="A6" t="inlineStr">
        <is>
          <t>qwen3.5-2b-q4_K_M__hibrido__v2</t>
        </is>
      </c>
      <c r="B6" t="inlineStr">
        <is>
          <t>qwen3.5-9b-q4_K_M__hibrido__v2__busca-corrigida</t>
        </is>
      </c>
      <c r="C6" t="n">
        <v>20</v>
      </c>
      <c r="D6" s="2" t="n">
        <v>0.45</v>
      </c>
      <c r="E6" s="2" t="n">
        <v>0.895619249343872</v>
      </c>
    </row>
    <row r="7">
      <c r="A7" t="inlineStr">
        <is>
          <t>qwen3.5-2b-q4_K_M__hibrido__v2__busca-corrigida</t>
        </is>
      </c>
      <c r="B7" t="inlineStr">
        <is>
          <t>qwen3.5-4b-q4_K_M__hibrido__v2</t>
        </is>
      </c>
      <c r="C7" t="n">
        <v>20</v>
      </c>
      <c r="D7" s="2" t="n">
        <v>0.6021428571428571</v>
      </c>
      <c r="E7" s="2" t="n">
        <v>0.907112954556942</v>
      </c>
    </row>
    <row r="8">
      <c r="A8" t="inlineStr">
        <is>
          <t>qwen3.5-2b-q4_K_M__hibrido__v2__busca-corrigida</t>
        </is>
      </c>
      <c r="B8" t="inlineStr">
        <is>
          <t>qwen3.5-4b-q4_K_M__hibrido__v2__busca-corrigida</t>
        </is>
      </c>
      <c r="C8" t="n">
        <v>20</v>
      </c>
      <c r="D8" s="2" t="n">
        <v>0.5691666666666667</v>
      </c>
      <c r="E8" s="2" t="n">
        <v>0.9040940120816231</v>
      </c>
    </row>
    <row r="9">
      <c r="A9" t="inlineStr">
        <is>
          <t>qwen3.5-2b-q4_K_M__hibrido__v2__busca-corrigida</t>
        </is>
      </c>
      <c r="B9" t="inlineStr">
        <is>
          <t>qwen3.5-9b-q4_K_M__hibrido__v2</t>
        </is>
      </c>
      <c r="C9" t="n">
        <v>20</v>
      </c>
      <c r="D9" s="2" t="n">
        <v>0.45625</v>
      </c>
      <c r="E9" s="2" t="n">
        <v>0.8925841465592385</v>
      </c>
    </row>
    <row r="10">
      <c r="A10" t="inlineStr">
        <is>
          <t>qwen3.5-2b-q4_K_M__hibrido__v2__busca-corrigida</t>
        </is>
      </c>
      <c r="B10" t="inlineStr">
        <is>
          <t>qwen3.5-9b-q4_K_M__hibrido__v2__busca-corrigida</t>
        </is>
      </c>
      <c r="C10" t="n">
        <v>20</v>
      </c>
      <c r="D10" s="2" t="n">
        <v>0.4663690476190476</v>
      </c>
      <c r="E10" s="2" t="n">
        <v>0.8941925957798957</v>
      </c>
    </row>
    <row r="11">
      <c r="A11" t="inlineStr">
        <is>
          <t>qwen3.5-4b-q4_K_M__hibrido__v2</t>
        </is>
      </c>
      <c r="B11" t="inlineStr">
        <is>
          <t>qwen3.5-4b-q4_K_M__hibrido__v2__busca-corrigida</t>
        </is>
      </c>
      <c r="C11" t="n">
        <v>20</v>
      </c>
      <c r="D11" s="2" t="n">
        <v>0.848452380952381</v>
      </c>
      <c r="E11" s="2" t="n">
        <v>0.9935615062713623</v>
      </c>
    </row>
    <row r="12">
      <c r="A12" t="inlineStr">
        <is>
          <t>qwen3.5-4b-q4_K_M__hibrido__v2</t>
        </is>
      </c>
      <c r="B12" t="inlineStr">
        <is>
          <t>qwen3.5-9b-q4_K_M__hibrido__v2</t>
        </is>
      </c>
      <c r="C12" t="n">
        <v>20</v>
      </c>
      <c r="D12" s="2" t="n">
        <v>0.6110119047619047</v>
      </c>
      <c r="E12" s="2" t="n">
        <v>0.9621763125061988</v>
      </c>
    </row>
    <row r="13">
      <c r="A13" t="inlineStr">
        <is>
          <t>qwen3.5-4b-q4_K_M__hibrido__v2</t>
        </is>
      </c>
      <c r="B13" t="inlineStr">
        <is>
          <t>qwen3.5-9b-q4_K_M__hibrido__v2__busca-corrigida</t>
        </is>
      </c>
      <c r="C13" t="n">
        <v>20</v>
      </c>
      <c r="D13" s="2" t="n">
        <v>0.6481746031746032</v>
      </c>
      <c r="E13" s="2" t="n">
        <v>0.9617153346538544</v>
      </c>
    </row>
    <row r="14">
      <c r="A14" t="inlineStr">
        <is>
          <t>qwen3.5-4b-q4_K_M__hibrido__v2__busca-corrigida</t>
        </is>
      </c>
      <c r="B14" t="inlineStr">
        <is>
          <t>qwen3.5-9b-q4_K_M__hibrido__v2</t>
        </is>
      </c>
      <c r="C14" t="n">
        <v>20</v>
      </c>
      <c r="D14" s="2" t="n">
        <v>0.6382142857142857</v>
      </c>
      <c r="E14" s="2" t="n">
        <v>0.9582437485456466</v>
      </c>
    </row>
    <row r="15">
      <c r="A15" t="inlineStr">
        <is>
          <t>qwen3.5-4b-q4_K_M__hibrido__v2__busca-corrigida</t>
        </is>
      </c>
      <c r="B15" t="inlineStr">
        <is>
          <t>qwen3.5-9b-q4_K_M__hibrido__v2__busca-corrigida</t>
        </is>
      </c>
      <c r="C15" t="n">
        <v>20</v>
      </c>
      <c r="D15" s="2" t="n">
        <v>0.6634126984126985</v>
      </c>
      <c r="E15" s="2" t="n">
        <v>0.9589027792215348</v>
      </c>
    </row>
    <row r="16">
      <c r="A16" t="inlineStr">
        <is>
          <t>qwen3.5-9b-q4_K_M__hibrido__v2</t>
        </is>
      </c>
      <c r="B16" t="inlineStr">
        <is>
          <t>qwen3.5-9b-q4_K_M__hibrido__v2__busca-corrigida</t>
        </is>
      </c>
      <c r="C16" t="n">
        <v>20</v>
      </c>
      <c r="D16" s="2" t="n">
        <v>0.8925396825396825</v>
      </c>
      <c r="E16" s="2" t="n">
        <v>0.9955767631530762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</cols>
  <sheetData>
    <row r="1">
      <c r="A1" s="1" t="inlineStr">
        <is>
          <t>dissertacao_id</t>
        </is>
      </c>
      <c r="B1" s="1" t="inlineStr">
        <is>
          <t>jaccard</t>
        </is>
      </c>
      <c r="C1" s="1" t="inlineStr">
        <is>
          <t>tematicas</t>
        </is>
      </c>
    </row>
    <row r="2">
      <c r="A2" t="inlineStr">
        <is>
          <t>C001</t>
        </is>
      </c>
      <c r="B2" s="2" t="n">
        <v>0.8933333333333333</v>
      </c>
      <c r="C2" s="2" t="n">
        <v>0.957777339220047</v>
      </c>
    </row>
    <row r="3">
      <c r="A3" t="inlineStr">
        <is>
          <t>C002</t>
        </is>
      </c>
      <c r="B3" s="2" t="n">
        <v>0.8933333333333333</v>
      </c>
      <c r="C3" s="2" t="n">
        <v>0.9501344601313273</v>
      </c>
    </row>
    <row r="4">
      <c r="A4" t="inlineStr">
        <is>
          <t>C003</t>
        </is>
      </c>
      <c r="B4" s="2" t="n">
        <v>0.8071428571428572</v>
      </c>
      <c r="C4" s="2" t="n">
        <v>0.9448586265246074</v>
      </c>
    </row>
    <row r="5">
      <c r="A5" t="inlineStr">
        <is>
          <t>C004</t>
        </is>
      </c>
      <c r="B5" s="2" t="n">
        <v>0.3650793650793651</v>
      </c>
      <c r="C5" s="2" t="n">
        <v>0.915697290500005</v>
      </c>
    </row>
    <row r="6">
      <c r="A6" t="inlineStr">
        <is>
          <t>C005</t>
        </is>
      </c>
      <c r="B6" s="2" t="n">
        <v>0.8222222222222222</v>
      </c>
      <c r="C6" s="2" t="n">
        <v>0.9578193028767904</v>
      </c>
    </row>
    <row r="7">
      <c r="A7" t="inlineStr">
        <is>
          <t>C006</t>
        </is>
      </c>
      <c r="B7" s="2" t="n">
        <v>0.6444444444444445</v>
      </c>
      <c r="C7" s="2" t="n">
        <v>0.9326032022635142</v>
      </c>
    </row>
    <row r="8">
      <c r="A8" t="inlineStr">
        <is>
          <t>C007</t>
        </is>
      </c>
      <c r="B8" s="2" t="n">
        <v>0.5523809523809524</v>
      </c>
      <c r="C8" s="2" t="n">
        <v>0.9301544845104217</v>
      </c>
    </row>
    <row r="9">
      <c r="A9" t="inlineStr">
        <is>
          <t>C008</t>
        </is>
      </c>
      <c r="B9" s="2" t="n">
        <v>0.3777777777777778</v>
      </c>
      <c r="C9" s="2" t="n">
        <v>0.9341335415840148</v>
      </c>
    </row>
    <row r="10">
      <c r="A10" t="inlineStr">
        <is>
          <t>C009</t>
        </is>
      </c>
      <c r="B10" s="2" t="n">
        <v>0.09388888888888888</v>
      </c>
      <c r="C10" s="2" t="n">
        <v>0.9086008270581564</v>
      </c>
    </row>
    <row r="11">
      <c r="A11" t="inlineStr">
        <is>
          <t>C010</t>
        </is>
      </c>
      <c r="B11" s="2" t="n">
        <v>0.6</v>
      </c>
      <c r="C11" s="2" t="n">
        <v>0.9344210247198741</v>
      </c>
    </row>
    <row r="12">
      <c r="A12" t="inlineStr">
        <is>
          <t>C011</t>
        </is>
      </c>
      <c r="B12" s="2" t="n">
        <v>1</v>
      </c>
      <c r="C12" s="2" t="n">
        <v>0.9335808674494426</v>
      </c>
    </row>
    <row r="13">
      <c r="A13" t="inlineStr">
        <is>
          <t>C012</t>
        </is>
      </c>
      <c r="B13" s="2" t="n">
        <v>0.237037037037037</v>
      </c>
      <c r="C13" s="2" t="n">
        <v>0.940152774254481</v>
      </c>
    </row>
    <row r="14">
      <c r="A14" t="inlineStr">
        <is>
          <t>C013</t>
        </is>
      </c>
      <c r="B14" s="2" t="n">
        <v>0.6444444444444445</v>
      </c>
      <c r="C14" s="2" t="n">
        <v>0.951988289753596</v>
      </c>
    </row>
    <row r="15">
      <c r="A15" t="inlineStr">
        <is>
          <t>C014</t>
        </is>
      </c>
      <c r="B15" s="2" t="n">
        <v>0.72</v>
      </c>
      <c r="C15" s="2" t="n">
        <v>0.9346551060676574</v>
      </c>
    </row>
    <row r="16">
      <c r="A16" t="inlineStr">
        <is>
          <t>C015</t>
        </is>
      </c>
      <c r="B16" s="2" t="n">
        <v>0.4222222222222222</v>
      </c>
      <c r="C16" s="2" t="n">
        <v>0.9277428050835927</v>
      </c>
    </row>
    <row r="17">
      <c r="A17" t="inlineStr">
        <is>
          <t>C016</t>
        </is>
      </c>
      <c r="B17" s="2" t="n">
        <v>0.2413227513227513</v>
      </c>
      <c r="C17" s="2" t="n">
        <v>0.952797547976176</v>
      </c>
    </row>
    <row r="18">
      <c r="A18" t="inlineStr">
        <is>
          <t>C017</t>
        </is>
      </c>
      <c r="B18" s="2" t="n">
        <v>0.7333333333333333</v>
      </c>
      <c r="C18" s="2" t="n">
        <v>0.9131879170735677</v>
      </c>
    </row>
    <row r="19">
      <c r="A19" t="inlineStr">
        <is>
          <t>C018</t>
        </is>
      </c>
      <c r="B19" s="2" t="n">
        <v>0.8888888888888888</v>
      </c>
      <c r="C19" s="2" t="n">
        <v>0.9419357379277548</v>
      </c>
    </row>
    <row r="20">
      <c r="A20" t="inlineStr">
        <is>
          <t>C019</t>
        </is>
      </c>
      <c r="B20" s="2" t="n">
        <v>0.84</v>
      </c>
      <c r="C20" s="2" t="n">
        <v>0.9077531715234121</v>
      </c>
    </row>
    <row r="21">
      <c r="A21" t="inlineStr">
        <is>
          <t>C020</t>
        </is>
      </c>
      <c r="B21" s="2" t="n">
        <v>0.6466666666666667</v>
      </c>
      <c r="C21" s="2" t="n">
        <v>0.9274075667063395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2026-10-08T02:37:20Z</dcterms:created>
  <dcterms:modified xsi:type="dcterms:W3CDTF">2026-10-08T02:37:20Z</dcterms:modified>
</cp:coreProperties>
</file>